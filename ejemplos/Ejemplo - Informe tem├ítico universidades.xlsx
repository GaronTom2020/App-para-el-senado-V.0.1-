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dientes" sheetId="1" state="visible" r:id="rId3"/>
    <sheet name="Resumen" sheetId="2" state="visible" r:id="rId4"/>
  </sheets>
  <definedNames>
    <definedName function="false" hidden="true" localSheetId="0" name="_xlnm._FilterDatabase" vbProcedure="false">Expedientes!$A$1:$O$4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<sst xmlns="http://schemas.openxmlformats.org/spreadsheetml/2006/main" count="77" uniqueCount="56">
  <si>
    <t xml:space="preserve">Expediente</t>
  </si>
  <si>
    <t xml:space="preserve">Tipo</t>
  </si>
  <si>
    <t xml:space="preserve">Origen</t>
  </si>
  <si>
    <t xml:space="preserve">Extracto</t>
  </si>
  <si>
    <t xml:space="preserve">Etapa</t>
  </si>
  <si>
    <t xml:space="preserve">Situación</t>
  </si>
  <si>
    <t xml:space="preserve">Comisión</t>
  </si>
  <si>
    <t xml:space="preserve">Ingreso</t>
  </si>
  <si>
    <t xml:space="preserve">Dado cuenta</t>
  </si>
  <si>
    <t xml:space="preserve">Caducidad</t>
  </si>
  <si>
    <t xml:space="preserve">Orden del Día</t>
  </si>
  <si>
    <t xml:space="preserve">Reuniones</t>
  </si>
  <si>
    <t xml:space="preserve">Última reunión</t>
  </si>
  <si>
    <t xml:space="preserve">Palabras encontradas</t>
  </si>
  <si>
    <t xml:space="preserve">Ficha</t>
  </si>
  <si>
    <t xml:space="preserve">CD-14/24</t>
  </si>
  <si>
    <t xml:space="preserve">PL</t>
  </si>
  <si>
    <t xml:space="preserve">CD</t>
  </si>
  <si>
    <t xml:space="preserve">PROYECTO DE LEY EN REVISION DE FINANCIAMIENTO DE UNIVERSIDADES NACIONALES.</t>
  </si>
  <si>
    <t xml:space="preserve">Vetado</t>
  </si>
  <si>
    <t xml:space="preserve">Sancionado: Ley N° 27.757 (vetada: veto total)</t>
  </si>
  <si>
    <t xml:space="preserve">Educación y Cultura, Presupuesto y Hacienda</t>
  </si>
  <si>
    <t xml:space="preserve">146/24 (Aprobada)</t>
  </si>
  <si>
    <t xml:space="preserve">universidad, financiamiento</t>
  </si>
  <si>
    <t xml:space="preserve">https://www.senado.gob.ar/parlamentario/comisiones/verExp/14.24/CD/PL</t>
  </si>
  <si>
    <t xml:space="preserve">CD-35/23</t>
  </si>
  <si>
    <t xml:space="preserve">PROYECTO DE LEY EN REVISION QUE CREA LA UNIVERSIDAD NACIONAL DE LA CUENCA DEL SALADO, CON SEDE CENTRAL EN EL DISTRITO DE CAÑUELAS, PROV. DE BS. AS.</t>
  </si>
  <si>
    <t xml:space="preserve">Caducado</t>
  </si>
  <si>
    <t xml:space="preserve">Caducó el 28/02/2026</t>
  </si>
  <si>
    <t xml:space="preserve">234/23 (Caduca por renov. bienal)</t>
  </si>
  <si>
    <t xml:space="preserve">universidad</t>
  </si>
  <si>
    <t xml:space="preserve">https://www.senado.gob.ar/parlamentario/comisiones/verExp/35.23/CD/PL</t>
  </si>
  <si>
    <t xml:space="preserve">S-342/26</t>
  </si>
  <si>
    <t xml:space="preserve">S</t>
  </si>
  <si>
    <t xml:space="preserve">ZAMORA Y OTROS: PROYECTO DE LEY QUE TRANSFIERE A TÍTULO GRATUITO A FAVOR DE LA UNIVERSIDAD NACIONAL DE SANTIAGO DEL ESTERO UN INMUEBLE PROPIEDAD DEL ESTADO NACIONAL UBICADO EN LA AV. BELGRANO (S) N° 2180 DE LA CIUDAD CAPITAL DE LA PROVINCIA DE SANTIAGO DEL ESTERO.</t>
  </si>
  <si>
    <t xml:space="preserve">Ficha no disponible</t>
  </si>
  <si>
    <t xml:space="preserve">El sitio respondió con el código 404 para https://www.senado.gob.ar/parlamentario/comisiones/verExp/342.26/S/PL.</t>
  </si>
  <si>
    <t xml:space="preserve">https://www.senado.gob.ar/parlamentario/comisiones/verExp/342.26/S/PL</t>
  </si>
  <si>
    <t xml:space="preserve">Informe temático</t>
  </si>
  <si>
    <t xml:space="preserve">EJEMPLO generado con páginas de prueba: no reemplaza una consulta real.</t>
  </si>
  <si>
    <t xml:space="preserve">Se identificaron TRES (3) expedientes que mencionan alguna de estas palabras en su extracto: universidad, financiamiento, ingresados entre 2023 y 2026: UN (1) vetado, UN (1) caducado y UN (1) cuya ficha no se pudo leer.</t>
  </si>
  <si>
    <t xml:space="preserve">Palabras clave</t>
  </si>
  <si>
    <t xml:space="preserve">universidad, financiamiento (alguna)</t>
  </si>
  <si>
    <t xml:space="preserve">Se excluyen</t>
  </si>
  <si>
    <t xml:space="preserve">saladillo</t>
  </si>
  <si>
    <t xml:space="preserve">Años de los expedientes</t>
  </si>
  <si>
    <t xml:space="preserve">2023 a 2026</t>
  </si>
  <si>
    <t xml:space="preserve">Todos</t>
  </si>
  <si>
    <t xml:space="preserve">Tipos</t>
  </si>
  <si>
    <t xml:space="preserve">Proyecto de comunicación, proyecto de ley, proyecto de resolución</t>
  </si>
  <si>
    <t xml:space="preserve">Expedientes</t>
  </si>
  <si>
    <t xml:space="preserve">Total</t>
  </si>
  <si>
    <t xml:space="preserve">Nombre</t>
  </si>
  <si>
    <t xml:space="preserve">Proyecto de ley</t>
  </si>
  <si>
    <t xml:space="preserve">Cámara de Diputados</t>
  </si>
  <si>
    <t xml:space="preserve">Senado de la Nación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</si>
</sst>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u val="single"/>
      <sz val="10"/>
      <color rgb="FF1F4E45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45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6B5F"/>
        <bgColor rgb="FF1F4E45"/>
      </patternFill>
    </fill>
    <fill>
      <patternFill patternType="solid">
        <fgColor rgb="FFE4EFEB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6B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45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5F"/>
      <rgbColor rgb="FFC0C0C0"/>
      <rgbColor rgb="FF808080"/>
      <rgbColor rgb="FF9999FF"/>
      <rgbColor rgb="FF993366"/>
      <rgbColor rgb="FFFFFFCC"/>
      <rgbColor rgb="FFE4EF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enado.gob.ar/parlamentario/comisiones/verExp/14.24/CD/PL" TargetMode="External"/><Relationship Id="rId2" Type="http://schemas.openxmlformats.org/officeDocument/2006/relationships/hyperlink" Target="https://www.senado.gob.ar/parlamentario/comisiones/verExp/35.23/CD/PL" TargetMode="External"/><Relationship Id="rId3" Type="http://schemas.openxmlformats.org/officeDocument/2006/relationships/hyperlink" Target="https://www.senado.gob.ar/parlamentario/comisiones/verExp/342.26/S/PL" TargetMode="External"/><Relationship Id="rId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70"/>
    <col collapsed="false" customWidth="true" hidden="false" outlineLevel="0" max="5" min="5" style="0" width="20"/>
    <col collapsed="false" customWidth="true" hidden="false" outlineLevel="0" max="6" min="6" style="0" width="38"/>
    <col collapsed="false" customWidth="true" hidden="false" outlineLevel="0" max="7" min="7" style="0" width="28"/>
    <col collapsed="false" customWidth="true" hidden="false" outlineLevel="0" max="10" min="8" style="0" width="11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26"/>
    <col collapsed="false" customWidth="true" hidden="false" outlineLevel="0" max="15" min="15" style="0" width="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3.85" hidden="false" customHeight="false" outlineLevel="0" collapsed="false">
      <c r="A2" s="2" t="s">
        <v>15</v>
      </c>
      <c r="B2" s="3" t="s">
        <v>16</v>
      </c>
      <c r="C2" s="3" t="s">
        <v>17</v>
      </c>
      <c r="D2" s="4" t="s">
        <v>18</v>
      </c>
      <c r="E2" s="3" t="s">
        <v>19</v>
      </c>
      <c r="F2" s="4" t="s">
        <v>20</v>
      </c>
      <c r="G2" s="4" t="s">
        <v>21</v>
      </c>
      <c r="H2" s="5" t="n">
        <v>45523</v>
      </c>
      <c r="I2" s="5" t="n">
        <v>45526</v>
      </c>
      <c r="J2" s="3"/>
      <c r="K2" s="3" t="s">
        <v>22</v>
      </c>
      <c r="L2" s="3"/>
      <c r="M2" s="3"/>
      <c r="N2" s="3" t="s">
        <v>23</v>
      </c>
      <c r="O2" s="3" t="s">
        <v>24</v>
      </c>
    </row>
    <row r="3" customFormat="false" ht="35.05" hidden="false" customHeight="false" outlineLevel="0" collapsed="false">
      <c r="A3" s="2" t="s">
        <v>25</v>
      </c>
      <c r="B3" s="3" t="s">
        <v>16</v>
      </c>
      <c r="C3" s="3" t="s">
        <v>17</v>
      </c>
      <c r="D3" s="4" t="s">
        <v>26</v>
      </c>
      <c r="E3" s="3" t="s">
        <v>27</v>
      </c>
      <c r="F3" s="4" t="s">
        <v>28</v>
      </c>
      <c r="G3" s="4" t="s">
        <v>21</v>
      </c>
      <c r="H3" s="5" t="n">
        <v>45211</v>
      </c>
      <c r="I3" s="5" t="n">
        <v>45400</v>
      </c>
      <c r="J3" s="5" t="n">
        <v>46081</v>
      </c>
      <c r="K3" s="3" t="s">
        <v>29</v>
      </c>
      <c r="L3" s="3"/>
      <c r="M3" s="3"/>
      <c r="N3" s="3" t="s">
        <v>30</v>
      </c>
      <c r="O3" s="3" t="s">
        <v>31</v>
      </c>
    </row>
    <row r="4" customFormat="false" ht="57.45" hidden="false" customHeight="false" outlineLevel="0" collapsed="false">
      <c r="A4" s="2" t="s">
        <v>32</v>
      </c>
      <c r="B4" s="3" t="s">
        <v>16</v>
      </c>
      <c r="C4" s="3" t="s">
        <v>33</v>
      </c>
      <c r="D4" s="4" t="s">
        <v>34</v>
      </c>
      <c r="E4" s="3" t="s">
        <v>35</v>
      </c>
      <c r="F4" s="4" t="s">
        <v>36</v>
      </c>
      <c r="G4" s="4"/>
      <c r="H4" s="3"/>
      <c r="I4" s="3"/>
      <c r="J4" s="3"/>
      <c r="K4" s="3"/>
      <c r="L4" s="3"/>
      <c r="M4" s="3"/>
      <c r="N4" s="3" t="s">
        <v>30</v>
      </c>
      <c r="O4" s="3" t="s">
        <v>37</v>
      </c>
    </row>
  </sheetData>
  <autoFilter ref="A1:O4"/>
  <hyperlinks>
    <hyperlink ref="A2" r:id="rId1" display="CD-14/24"/>
    <hyperlink ref="A3" r:id="rId2" display="CD-35/23"/>
    <hyperlink ref="A4" r:id="rId3" display="S-342/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6" t="s">
        <v>38</v>
      </c>
    </row>
    <row r="2" customFormat="false" ht="15" hidden="false" customHeight="false" outlineLevel="0" collapsed="false">
      <c r="A2" s="7" t="s">
        <v>23</v>
      </c>
    </row>
    <row r="3" customFormat="false" ht="15" hidden="false" customHeight="false" outlineLevel="0" collapsed="false">
      <c r="A3" s="8" t="s">
        <v>39</v>
      </c>
    </row>
    <row r="4" customFormat="false" ht="48" hidden="false" customHeight="true" outlineLevel="0" collapsed="false">
      <c r="A4" s="9" t="s">
        <v>40</v>
      </c>
      <c r="B4" s="9"/>
      <c r="C4" s="9"/>
    </row>
    <row r="6" customFormat="false" ht="15" hidden="false" customHeight="false" outlineLevel="0" collapsed="false">
      <c r="A6" s="7" t="s">
        <v>41</v>
      </c>
      <c r="B6" s="8" t="s">
        <v>42</v>
      </c>
    </row>
    <row r="7" customFormat="false" ht="15" hidden="false" customHeight="false" outlineLevel="0" collapsed="false">
      <c r="A7" s="7" t="s">
        <v>43</v>
      </c>
      <c r="B7" s="8" t="s">
        <v>44</v>
      </c>
    </row>
    <row r="8" customFormat="false" ht="15" hidden="false" customHeight="false" outlineLevel="0" collapsed="false">
      <c r="A8" s="7" t="s">
        <v>45</v>
      </c>
      <c r="B8" s="8" t="s">
        <v>46</v>
      </c>
    </row>
    <row r="9" customFormat="false" ht="15" hidden="false" customHeight="false" outlineLevel="0" collapsed="false">
      <c r="A9" s="7" t="s">
        <v>2</v>
      </c>
      <c r="B9" s="8" t="s">
        <v>47</v>
      </c>
    </row>
    <row r="10" customFormat="false" ht="15" hidden="false" customHeight="false" outlineLevel="0" collapsed="false">
      <c r="A10" s="7" t="s">
        <v>48</v>
      </c>
      <c r="B10" s="8" t="s">
        <v>49</v>
      </c>
    </row>
    <row r="12" customFormat="false" ht="15" hidden="false" customHeight="false" outlineLevel="0" collapsed="false">
      <c r="A12" s="10" t="s">
        <v>4</v>
      </c>
      <c r="B12" s="10"/>
      <c r="C12" s="10" t="s">
        <v>50</v>
      </c>
    </row>
    <row r="13" customFormat="false" ht="15" hidden="false" customHeight="false" outlineLevel="0" collapsed="false">
      <c r="A13" s="8" t="s">
        <v>19</v>
      </c>
      <c r="B13" s="8"/>
      <c r="C13" s="8" t="n">
        <f aca="false">COUNTIF(Expedientes!$E$2:$E$4,A13)</f>
        <v>1</v>
      </c>
    </row>
    <row r="14" customFormat="false" ht="15" hidden="false" customHeight="false" outlineLevel="0" collapsed="false">
      <c r="A14" s="8" t="s">
        <v>27</v>
      </c>
      <c r="B14" s="8"/>
      <c r="C14" s="8" t="n">
        <f aca="false">COUNTIF(Expedientes!$E$2:$E$4,A14)</f>
        <v>1</v>
      </c>
    </row>
    <row r="15" customFormat="false" ht="15" hidden="false" customHeight="false" outlineLevel="0" collapsed="false">
      <c r="A15" s="8" t="s">
        <v>35</v>
      </c>
      <c r="B15" s="8"/>
      <c r="C15" s="8" t="n">
        <f aca="false">COUNTIF(Expedientes!$E$2:$E$4,A15)</f>
        <v>1</v>
      </c>
    </row>
    <row r="16" customFormat="false" ht="15" hidden="false" customHeight="false" outlineLevel="0" collapsed="false">
      <c r="A16" s="11" t="s">
        <v>51</v>
      </c>
      <c r="B16" s="12"/>
      <c r="C16" s="11" t="n">
        <f aca="false">SUM(C13:C15)</f>
        <v>3</v>
      </c>
    </row>
    <row r="18" customFormat="false" ht="15" hidden="false" customHeight="false" outlineLevel="0" collapsed="false">
      <c r="A18" s="10" t="s">
        <v>1</v>
      </c>
      <c r="B18" s="10" t="s">
        <v>52</v>
      </c>
      <c r="C18" s="10" t="s">
        <v>50</v>
      </c>
    </row>
    <row r="19" customFormat="false" ht="15" hidden="false" customHeight="false" outlineLevel="0" collapsed="false">
      <c r="A19" s="8" t="s">
        <v>16</v>
      </c>
      <c r="B19" s="8" t="s">
        <v>53</v>
      </c>
      <c r="C19" s="8" t="n">
        <f aca="false">COUNTIF(Expedientes!$B$2:$B$4,A19)</f>
        <v>3</v>
      </c>
    </row>
    <row r="20" customFormat="false" ht="15" hidden="false" customHeight="false" outlineLevel="0" collapsed="false">
      <c r="A20" s="11" t="s">
        <v>51</v>
      </c>
      <c r="B20" s="12"/>
      <c r="C20" s="11" t="n">
        <f aca="false">SUM(C19:C19)</f>
        <v>3</v>
      </c>
    </row>
    <row r="22" customFormat="false" ht="15" hidden="false" customHeight="false" outlineLevel="0" collapsed="false">
      <c r="A22" s="10" t="s">
        <v>2</v>
      </c>
      <c r="B22" s="10" t="s">
        <v>52</v>
      </c>
      <c r="C22" s="10" t="s">
        <v>50</v>
      </c>
    </row>
    <row r="23" customFormat="false" ht="15" hidden="false" customHeight="false" outlineLevel="0" collapsed="false">
      <c r="A23" s="8" t="s">
        <v>17</v>
      </c>
      <c r="B23" s="8" t="s">
        <v>54</v>
      </c>
      <c r="C23" s="8" t="n">
        <f aca="false">COUNTIF(Expedientes!$C$2:$C$4,A23)</f>
        <v>2</v>
      </c>
    </row>
    <row r="24" customFormat="false" ht="15" hidden="false" customHeight="false" outlineLevel="0" collapsed="false">
      <c r="A24" s="8" t="s">
        <v>33</v>
      </c>
      <c r="B24" s="8" t="s">
        <v>55</v>
      </c>
      <c r="C24" s="8" t="n">
        <f aca="false">COUNTIF(Expedientes!$C$2:$C$4,A24)</f>
        <v>1</v>
      </c>
    </row>
    <row r="25" customFormat="false" ht="15" hidden="false" customHeight="false" outlineLevel="0" collapsed="false">
      <c r="A25" s="11" t="s">
        <v>51</v>
      </c>
      <c r="B25" s="12"/>
      <c r="C25" s="11" t="n">
        <f aca="false">SUM(C23:C24)</f>
        <v>3</v>
      </c>
    </row>
  </sheetData>
  <mergeCells count="1">
    <mergeCell ref="A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2026-10-29T18:31:52Z</dcterms:created>
  <dc:creator>openpyxl</dc:creator>
  <dc:description/>
  <dc:language>en-US</dc:language>
  <cp:lastModifiedBy/>
  <dcterms:modified xsi:type="dcterms:W3CDTF">2026-10-29T18:31:52Z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